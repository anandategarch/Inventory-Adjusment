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C9D6AEF-85BF-45A2-97EE-CFCB7D8FAF34}" xr6:coauthVersionLast="47" xr6:coauthVersionMax="47" xr10:uidLastSave="{00000000-0000-0000-0000-000000000000}"/>
  <bookViews>
    <workbookView xWindow="-110" yWindow="-110" windowWidth="19420" windowHeight="10420" xr2:uid="{D8176D15-A83C-4388-8570-7043F58A8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<sst xmlns="http://schemas.openxmlformats.org/spreadsheetml/2006/main" count="62" uniqueCount="59">
  <si>
    <t>_01AGT-31AGT26</t>
  </si>
  <si>
    <t>MLGPAR</t>
  </si>
  <si>
    <t>AGUSTUS 2026</t>
  </si>
  <si>
    <t>610.40.5007 Sparepart Inventaris - Resto (Non Jasa)</t>
  </si>
  <si>
    <t>610.40.3002 Beban Kebersihan - Resto</t>
  </si>
  <si>
    <t>610.40.4001 Beban ATK - Resto</t>
  </si>
  <si>
    <t>510.00.5012 Biaya Bahan Pembantu - RESTO</t>
  </si>
  <si>
    <t>610.40.2003 Beban Gas - Resto</t>
  </si>
  <si>
    <t>610.10.3036 Biaya seragam - HO</t>
  </si>
  <si>
    <t>510.00.5002 Biaya Packaging - RESTO</t>
  </si>
  <si>
    <t>610.40.3004 Biaya Perlengkapan - Resto</t>
  </si>
  <si>
    <t>IA PACKAGING_</t>
  </si>
  <si>
    <t>510.00.5011</t>
  </si>
  <si>
    <t>IA COM (CONSUME)_</t>
  </si>
  <si>
    <t>510.00.5002</t>
  </si>
  <si>
    <t>IA COM (DEVIASI)</t>
  </si>
  <si>
    <t>510.00.5003</t>
  </si>
  <si>
    <t>ADJUSTMENT STOCK</t>
  </si>
  <si>
    <t>IA PACKAGING</t>
  </si>
  <si>
    <t>BJMHAS</t>
  </si>
  <si>
    <t>1216.BJMHAS</t>
  </si>
  <si>
    <t>BKSALT</t>
  </si>
  <si>
    <t>1140.BKSALT</t>
  </si>
  <si>
    <t>BDGUKU</t>
  </si>
  <si>
    <t>1041.BDGUKU</t>
  </si>
  <si>
    <t>BKSSUD</t>
  </si>
  <si>
    <t>1233.BKSSUD</t>
  </si>
  <si>
    <t>CKGPAH</t>
  </si>
  <si>
    <t>1137.CKGPAH</t>
  </si>
  <si>
    <t>DPKLIM</t>
  </si>
  <si>
    <t>1345.DPKLIM</t>
  </si>
  <si>
    <t>DPKMAR</t>
  </si>
  <si>
    <t>1049.DPKMAR</t>
  </si>
  <si>
    <t>GGPDAA</t>
  </si>
  <si>
    <t>1151.GGPDAA</t>
  </si>
  <si>
    <t>GRTSUM</t>
  </si>
  <si>
    <t>1310.GRTSUM</t>
  </si>
  <si>
    <t>KGNSUD</t>
  </si>
  <si>
    <t>1370.KGNSUD</t>
  </si>
  <si>
    <t>KWGGAL</t>
  </si>
  <si>
    <t>1042.KWGGAL</t>
  </si>
  <si>
    <t>KWGTEL</t>
  </si>
  <si>
    <t>1211.KWGTEL</t>
  </si>
  <si>
    <t>PWKTAM</t>
  </si>
  <si>
    <t>1071.PWKTAM</t>
  </si>
  <si>
    <t>SBMOTI</t>
  </si>
  <si>
    <t>1335.SBMOTI</t>
  </si>
  <si>
    <t>SBRTUP</t>
  </si>
  <si>
    <t>1187.SBRTUP</t>
  </si>
  <si>
    <t>SBSHAM</t>
  </si>
  <si>
    <t>1341.SBSHAM</t>
  </si>
  <si>
    <t>TGRBIN</t>
  </si>
  <si>
    <t>1220.TGRBIN</t>
  </si>
  <si>
    <t>TGRGEL</t>
  </si>
  <si>
    <t>1276.TGRGEL</t>
  </si>
  <si>
    <t>CKRBOS</t>
  </si>
  <si>
    <t>1327.CKRBOS</t>
  </si>
  <si>
    <t>1356.MLGPAR</t>
  </si>
  <si>
    <t>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</si>
</sst>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u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14" fontId="2" fillId="2" borderId="0" xfId="0" applyNumberFormat="1" applyFont="1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0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4B0E-A9F4-4B42-B79A-831CFAEA21B1}">
  <dimension ref="A1:F34"/>
  <sheetViews>
    <sheetView tabSelected="1" workbookViewId="0">
      <selection activeCell="C7" sqref="C7"/>
    </sheetView>
  </sheetViews>
  <sheetFormatPr defaultRowHeight="14.5" x14ac:dyDescent="0.35"/>
  <cols>
    <col min="1" max="1" width="11.90625" customWidth="1"/>
    <col min="2" max="2" width="19.7265625" customWidth="1"/>
    <col min="3" max="3" width="59.54296875" bestFit="1" customWidth="1"/>
    <col min="4" max="4" width="16.81640625" customWidth="1"/>
    <col min="5" max="5" width="21.6328125" bestFit="1" customWidth="1"/>
    <col min="6" max="6" width="25.1796875" bestFit="1" customWidth="1"/>
  </cols>
  <sheetData>
    <row r="1" spans="1:6" s="9" customFormat="1" ht="23.5" x14ac:dyDescent="0.55000000000000004">
      <c r="B1" s="2" t="s">
        <v>58</v>
      </c>
      <c r="C1" s="2" t="s">
        <v>23</v>
      </c>
      <c r="D1" s="3">
        <v>46265</v>
      </c>
      <c r="E1" s="1" t="s">
        <v>2</v>
      </c>
      <c r="F1" s="1" t="s">
        <v>0</v>
      </c>
    </row>
    <row r="2" spans="1:6" ht="21" x14ac:dyDescent="0.5">
      <c r="A2" s="4" t="s">
        <v>3</v>
      </c>
      <c r="B2" s="5" t="str">
        <f>LEFT(A2,12)</f>
        <v xml:space="preserve">610.40.5007 </v>
      </c>
      <c r="C2" t="str">
        <f>"IA "&amp;RIGHT($A$2,LEN($A$2) - FIND(" ",$A$2))&amp;"_"&amp;C$1&amp;$F$1</f>
        <v>IA Sparepart Inventaris - Resto (Non Jasa)_BDGUKU_01AGT-31AGT26</v>
      </c>
    </row>
    <row r="3" spans="1:6" ht="21" x14ac:dyDescent="0.5">
      <c r="A3" s="4" t="s">
        <v>4</v>
      </c>
      <c r="B3" s="5" t="str">
        <f t="shared" ref="B3:B8" si="0">LEFT(A3,12)</f>
        <v xml:space="preserve">610.40.3002 </v>
      </c>
      <c r="C3" t="str">
        <f>"IA "&amp;RIGHT($A$3,LEN($A$3) - FIND(" ",$A$3))&amp;"_"&amp;C$1&amp;$F$1</f>
        <v>IA Beban Kebersihan - Resto_BDGUKU_01AGT-31AGT26</v>
      </c>
    </row>
    <row r="4" spans="1:6" ht="21" x14ac:dyDescent="0.5">
      <c r="A4" s="4" t="s">
        <v>5</v>
      </c>
      <c r="B4" s="5" t="str">
        <f>LEFT(A4,12)</f>
        <v xml:space="preserve">610.40.4001 </v>
      </c>
      <c r="C4" t="str">
        <f>"IA "&amp;RIGHT($A$4,LEN($A$4) - FIND(" ",$A$4))&amp;"_"&amp;C$1&amp;$F$1</f>
        <v>IA Beban ATK - Resto_BDGUKU_01AGT-31AGT26</v>
      </c>
    </row>
    <row r="5" spans="1:6" ht="21" x14ac:dyDescent="0.5">
      <c r="A5" s="4" t="s">
        <v>6</v>
      </c>
      <c r="B5" s="5" t="str">
        <f t="shared" si="0"/>
        <v xml:space="preserve">510.00.5012 </v>
      </c>
      <c r="C5" t="str">
        <f>"IA "&amp;RIGHT($A$5,LEN($A$5) - FIND(" ",$A$5))&amp;"_"&amp;C$1&amp;$F$1</f>
        <v>IA Biaya Bahan Pembantu - RESTO_BDGUKU_01AGT-31AGT26</v>
      </c>
    </row>
    <row r="6" spans="1:6" ht="21" x14ac:dyDescent="0.5">
      <c r="A6" s="4" t="s">
        <v>7</v>
      </c>
      <c r="B6" s="5" t="str">
        <f>LEFT(A6,12)</f>
        <v xml:space="preserve">610.40.2003 </v>
      </c>
      <c r="C6" t="str">
        <f>"IA "&amp;RIGHT($A$6,LEN($A$6) - FIND(" ",$A$6))&amp;"_"&amp;C$1&amp;$F$1</f>
        <v>IA Beban Gas - Resto_BDGUKU_01AGT-31AGT26</v>
      </c>
    </row>
    <row r="7" spans="1:6" ht="21" x14ac:dyDescent="0.5">
      <c r="A7" s="4" t="s">
        <v>8</v>
      </c>
      <c r="B7" s="5" t="str">
        <f t="shared" si="0"/>
        <v xml:space="preserve">610.10.3036 </v>
      </c>
      <c r="C7" t="str">
        <f>"IA "&amp;RIGHT($A$7,LEN($A$7) - FIND(" ",$A$7))&amp;"_"&amp;C$1&amp;$F$1</f>
        <v>IA Biaya seragam - HO_BDGUKU_01AGT-31AGT26</v>
      </c>
    </row>
    <row r="8" spans="1:6" ht="21" x14ac:dyDescent="0.5">
      <c r="A8" s="4" t="s">
        <v>9</v>
      </c>
      <c r="B8" s="5" t="str">
        <f t="shared" si="0"/>
        <v xml:space="preserve">510.00.5002 </v>
      </c>
      <c r="C8" t="str">
        <f>"IA "&amp;RIGHT($A$8,LEN($A$8) - FIND(" ",$A$8))&amp;"_"&amp;C$1&amp;$F$1</f>
        <v>IA Biaya Packaging - RESTO_BDGUKU_01AGT-31AGT26</v>
      </c>
    </row>
    <row r="9" spans="1:6" ht="21" x14ac:dyDescent="0.5">
      <c r="A9" s="4" t="s">
        <v>10</v>
      </c>
      <c r="B9" s="5" t="str">
        <f>LEFT(A9,12)</f>
        <v xml:space="preserve">610.40.3004 </v>
      </c>
      <c r="C9" t="str">
        <f>"IA "&amp;RIGHT($A$9,LEN($A$9) - FIND(" ",$A$9))&amp;"_"&amp;C$1&amp;$F$1</f>
        <v>IA Biaya Perlengkapan - Resto_BDGUKU_01AGT-31AGT26</v>
      </c>
    </row>
    <row r="10" spans="1:6" ht="21" x14ac:dyDescent="0.5">
      <c r="A10" s="4" t="s">
        <v>11</v>
      </c>
      <c r="B10" s="5" t="s">
        <v>12</v>
      </c>
      <c r="C10" s="6" t="str">
        <f>A10&amp;C1&amp;F1</f>
        <v>IA PACKAGING_BDGUKU_01AGT-31AGT26</v>
      </c>
    </row>
    <row r="11" spans="1:6" ht="21" x14ac:dyDescent="0.5">
      <c r="A11" s="4" t="s">
        <v>13</v>
      </c>
      <c r="B11" s="5" t="s">
        <v>14</v>
      </c>
      <c r="C11" s="6" t="str">
        <f>A11&amp;C1&amp;F1</f>
        <v>IA COM (CONSUME)_BDGUKU_01AGT-31AGT26</v>
      </c>
    </row>
    <row r="12" spans="1:6" ht="21" x14ac:dyDescent="0.5">
      <c r="A12" s="4" t="s">
        <v>15</v>
      </c>
      <c r="B12" s="5" t="s">
        <v>16</v>
      </c>
      <c r="C12" s="7" t="str">
        <f>A12&amp;"_"&amp;C1&amp;"_"&amp;D12&amp;" "&amp;E1</f>
        <v>IA COM (DEVIASI)_BDGUKU_ADJUSTMENT STOCK AGUSTUS 2026</v>
      </c>
      <c r="D12" s="8" t="s">
        <v>17</v>
      </c>
    </row>
    <row r="13" spans="1:6" ht="18" customHeight="1" x14ac:dyDescent="0.5">
      <c r="A13" s="4" t="s">
        <v>18</v>
      </c>
      <c r="B13" s="5" t="s">
        <v>12</v>
      </c>
      <c r="C13" s="7" t="str">
        <f>A13&amp;"_"&amp;C1&amp;"_"&amp;D13&amp;" "&amp;E1</f>
        <v>IA PACKAGING_BDGUKU_ADJUSTMENT STOCK AGUSTUS 2026</v>
      </c>
      <c r="D13" s="8" t="s">
        <v>17</v>
      </c>
    </row>
    <row r="15" spans="1:6" x14ac:dyDescent="0.35">
      <c r="A15" t="s">
        <v>19</v>
      </c>
      <c r="B15" t="s">
        <v>20</v>
      </c>
    </row>
    <row r="16" spans="1:6" x14ac:dyDescent="0.35">
      <c r="A16" t="s">
        <v>21</v>
      </c>
      <c r="B16" t="s">
        <v>22</v>
      </c>
    </row>
    <row r="17" spans="1:2" x14ac:dyDescent="0.35">
      <c r="A17" t="s">
        <v>23</v>
      </c>
      <c r="B17" t="s">
        <v>24</v>
      </c>
    </row>
    <row r="18" spans="1:2" x14ac:dyDescent="0.35">
      <c r="A18" t="s">
        <v>25</v>
      </c>
      <c r="B18" t="s">
        <v>26</v>
      </c>
    </row>
    <row r="19" spans="1:2" x14ac:dyDescent="0.35">
      <c r="A19" t="s">
        <v>27</v>
      </c>
      <c r="B19" t="s">
        <v>28</v>
      </c>
    </row>
    <row r="20" spans="1:2" x14ac:dyDescent="0.35">
      <c r="A20" t="s">
        <v>29</v>
      </c>
      <c r="B20" t="s">
        <v>30</v>
      </c>
    </row>
    <row r="21" spans="1:2" x14ac:dyDescent="0.35">
      <c r="A21" t="s">
        <v>31</v>
      </c>
      <c r="B21" t="s">
        <v>32</v>
      </c>
    </row>
    <row r="22" spans="1:2" x14ac:dyDescent="0.35">
      <c r="A22" t="s">
        <v>33</v>
      </c>
      <c r="B22" t="s">
        <v>34</v>
      </c>
    </row>
    <row r="23" spans="1:2" x14ac:dyDescent="0.35">
      <c r="A23" t="s">
        <v>35</v>
      </c>
      <c r="B23" t="s">
        <v>36</v>
      </c>
    </row>
    <row r="24" spans="1:2" x14ac:dyDescent="0.35">
      <c r="A24" t="s">
        <v>37</v>
      </c>
      <c r="B24" t="s">
        <v>38</v>
      </c>
    </row>
    <row r="25" spans="1:2" x14ac:dyDescent="0.35">
      <c r="A25" t="s">
        <v>39</v>
      </c>
      <c r="B25" t="s">
        <v>40</v>
      </c>
    </row>
    <row r="26" spans="1:2" x14ac:dyDescent="0.35">
      <c r="A26" t="s">
        <v>41</v>
      </c>
      <c r="B26" t="s">
        <v>42</v>
      </c>
    </row>
    <row r="27" spans="1:2" x14ac:dyDescent="0.35">
      <c r="A27" t="s">
        <v>43</v>
      </c>
      <c r="B27" t="s">
        <v>44</v>
      </c>
    </row>
    <row r="28" spans="1:2" x14ac:dyDescent="0.35">
      <c r="A28" t="s">
        <v>45</v>
      </c>
      <c r="B28" t="s">
        <v>46</v>
      </c>
    </row>
    <row r="29" spans="1:2" x14ac:dyDescent="0.35">
      <c r="A29" t="s">
        <v>47</v>
      </c>
      <c r="B29" t="s">
        <v>48</v>
      </c>
    </row>
    <row r="30" spans="1:2" x14ac:dyDescent="0.35">
      <c r="A30" t="s">
        <v>49</v>
      </c>
      <c r="B30" t="s">
        <v>50</v>
      </c>
    </row>
    <row r="31" spans="1:2" x14ac:dyDescent="0.35">
      <c r="A31" t="s">
        <v>51</v>
      </c>
      <c r="B31" t="s">
        <v>52</v>
      </c>
    </row>
    <row r="32" spans="1:2" x14ac:dyDescent="0.35">
      <c r="A32" t="s">
        <v>53</v>
      </c>
      <c r="B32" t="s">
        <v>54</v>
      </c>
    </row>
    <row r="33" spans="1:2" x14ac:dyDescent="0.35">
      <c r="A33" t="s">
        <v>55</v>
      </c>
      <c r="B33" t="s">
        <v>56</v>
      </c>
    </row>
    <row r="34" spans="1:2" x14ac:dyDescent="0.35">
      <c r="A34" t="s">
        <v>1</v>
      </c>
      <c r="B34" t="s">
        <v>57</v>
      </c>
    </row>
  </sheetData>
  <conditionalFormatting sqref="B31">
    <cfRule type="duplicateValues" dxfId="1" priority="2"/>
  </conditionalFormatting>
  <conditionalFormatting sqref="B32:B34">
    <cfRule type="duplicateValues" dxfId="0" priority="1"/>
  </conditionalFormatting>
  <dataValidations count="1">
    <dataValidation type="list" allowBlank="1" showInputMessage="1" showErrorMessage="1" sqref="C1" xr:uid="{EC1A2734-9472-46C5-89A6-F32FC75A18F7}">
      <formula1>$A$15:$A$50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2026-09-17T09:47:25Z</dcterms:created>
  <dcterms:modified xsi:type="dcterms:W3CDTF">2026-09-17T10:01:50Z</dcterms:modified>
</cp:coreProperties>
</file>